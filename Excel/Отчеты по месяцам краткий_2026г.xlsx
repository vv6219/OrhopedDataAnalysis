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2" sheetId="1" r:id="rId5"/>
    <sheet state="visible" name="Январь 2026" sheetId="2" r:id="rId6"/>
    <sheet state="visible" name="Февраль 2026" sheetId="3" r:id="rId7"/>
    <sheet state="visible" name="Март 2026" sheetId="4" r:id="rId8"/>
    <sheet state="visible" name="Апрель 2026" sheetId="5" r:id="rId9"/>
    <sheet state="visible" name="Май2026" sheetId="6" r:id="rId10"/>
    <sheet state="visible" name="Июнь2026" sheetId="7" r:id="rId11"/>
    <sheet state="visible" name="Июль2026" sheetId="8" r:id="rId12"/>
    <sheet state="visible" name="Август2026" sheetId="9" r:id="rId13"/>
    <sheet state="visible" name="Сентябрь 2026" sheetId="10" r:id="rId14"/>
  </sheets>
  <definedNames/>
  <calcPr/>
</workbook>
</file>

<file path=xl/sharedStrings.xml><?xml version="1.0" encoding="utf-8"?>
<sst xmlns="http://schemas.openxmlformats.org/spreadsheetml/2006/main" count="172" uniqueCount="62">
  <si>
    <t>Месяц</t>
  </si>
  <si>
    <t>Программа Димы</t>
  </si>
  <si>
    <t>Медлок</t>
  </si>
  <si>
    <t>Тетрадь</t>
  </si>
  <si>
    <t>Рентген</t>
  </si>
  <si>
    <t>Купон Продоктора</t>
  </si>
  <si>
    <t>Итого доход</t>
  </si>
  <si>
    <t>ЗП Влада</t>
  </si>
  <si>
    <t xml:space="preserve">Расход </t>
  </si>
  <si>
    <t>Итого расход</t>
  </si>
  <si>
    <t>Итого</t>
  </si>
  <si>
    <t>Февраль 2026</t>
  </si>
  <si>
    <t>Март 2026</t>
  </si>
  <si>
    <t>Январь 2026</t>
  </si>
  <si>
    <t>нет</t>
  </si>
  <si>
    <t>Итого:203318</t>
  </si>
  <si>
    <t>Итого:-311899</t>
  </si>
  <si>
    <t>Итого:877515</t>
  </si>
  <si>
    <t>УВТ</t>
  </si>
  <si>
    <t>Прием ИРИС</t>
  </si>
  <si>
    <t>Расход</t>
  </si>
  <si>
    <t>Май 2026</t>
  </si>
  <si>
    <t xml:space="preserve">Итого расход </t>
  </si>
  <si>
    <t>ДОЛГ ОТ КЛИНИКИ</t>
  </si>
  <si>
    <t>Апрель 2026</t>
  </si>
  <si>
    <t>Итого:201761</t>
  </si>
  <si>
    <t>Итого:-230375</t>
  </si>
  <si>
    <t xml:space="preserve">Январь </t>
  </si>
  <si>
    <t>877515</t>
  </si>
  <si>
    <t>Февраль</t>
  </si>
  <si>
    <t>Март</t>
  </si>
  <si>
    <t>Апрель</t>
  </si>
  <si>
    <t>Май</t>
  </si>
  <si>
    <t>Июнь</t>
  </si>
  <si>
    <t>857 816</t>
  </si>
  <si>
    <t>Июль</t>
  </si>
  <si>
    <t>1 281 818</t>
  </si>
  <si>
    <t>Август</t>
  </si>
  <si>
    <t>ЛФК</t>
  </si>
  <si>
    <t>Июнь 2026</t>
  </si>
  <si>
    <t xml:space="preserve"> 845 485</t>
  </si>
  <si>
    <t xml:space="preserve">УВТ Июнь </t>
  </si>
  <si>
    <t>215 820</t>
  </si>
  <si>
    <t>УВТ Июль</t>
  </si>
  <si>
    <t>Июль 2026</t>
  </si>
  <si>
    <t>1 093 705</t>
  </si>
  <si>
    <t>110 225</t>
  </si>
  <si>
    <t xml:space="preserve">УВТ Август </t>
  </si>
  <si>
    <t xml:space="preserve">2 033 174 </t>
  </si>
  <si>
    <t>751 356</t>
  </si>
  <si>
    <t>125 664</t>
  </si>
  <si>
    <t>Август 2026</t>
  </si>
  <si>
    <t>235 889</t>
  </si>
  <si>
    <t>Итого: 1 281 818</t>
  </si>
  <si>
    <t>1 072 531</t>
  </si>
  <si>
    <t>Итого: 728 910</t>
  </si>
  <si>
    <t>Итого: 857 816</t>
  </si>
  <si>
    <t>УВТ Сентябрь</t>
  </si>
  <si>
    <t>Сентябрь 2026</t>
  </si>
  <si>
    <t>1 085 695</t>
  </si>
  <si>
    <t>1 380 220</t>
  </si>
  <si>
    <t>Итого: 355535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</si>
</sst>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shrinkToFit="0" vertical="center" wrapText="0"/>
    </xf>
    <xf borderId="0" fillId="0" fontId="1" numFmtId="9" xfId="0" applyAlignment="1" applyFont="1" applyNumberForma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626E7A"/>
          <bgColor rgb="FF626E7A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Январь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рт 2026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Февраль 2026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Май2026-style">
      <tableStyleElement dxfId="5" type="headerRow"/>
      <tableStyleElement dxfId="2" type="firstRowStripe"/>
      <tableStyleElement dxfId="2" type="secondRowStripe"/>
      <tableStyleElement dxfId="6" size="0" type="wholeTable"/>
    </tableStyle>
    <tableStyle count="4" pivot="0" name="Апрель 2026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Лист12-style">
      <tableStyleElement dxfId="7" type="headerRow"/>
      <tableStyleElement dxfId="2" type="firstRowStripe"/>
      <tableStyleElement dxfId="3" type="secondRowStripe"/>
      <tableStyleElement dxfId="8" size="0" type="wholeTable"/>
    </tableStyle>
    <tableStyle count="4" pivot="0" name="Июнь2026-style">
      <tableStyleElement dxfId="5" type="headerRow"/>
      <tableStyleElement dxfId="2" type="firstRowStripe"/>
      <tableStyleElement dxfId="2" type="secondRowStripe"/>
      <tableStyleElement dxfId="6" size="0" type="wholeTable"/>
    </tableStyle>
    <tableStyle count="4" pivot="0" name="Июль2026-style">
      <tableStyleElement dxfId="5" type="headerRow"/>
      <tableStyleElement dxfId="2" type="firstRowStripe"/>
      <tableStyleElement dxfId="2" type="secondRowStripe"/>
      <tableStyleElement dxfId="6" size="0" type="wholeTable"/>
    </tableStyle>
    <tableStyle count="4" pivot="0" name="Август2026-style">
      <tableStyleElement dxfId="5" type="headerRow"/>
      <tableStyleElement dxfId="2" type="firstRowStripe"/>
      <tableStyleElement dxfId="2" type="secondRowStripe"/>
      <tableStyleElement dxfId="6" size="0" type="wholeTable"/>
    </tableStyle>
    <tableStyle count="4" pivot="0" name="Сентябрь 2026-style">
      <tableStyleElement dxfId="5" type="headerRow"/>
      <tableStyleElement dxfId="2" type="firstRowStripe"/>
      <tableStyleElement dxfId="2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877515 относительно параметра "Январь "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'Лист12'!$B$1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'Лист12'!$A$2:$A$8</c:f>
            </c:strRef>
          </c:cat>
          <c:val>
            <c:numRef>
              <c:f>'Лист12'!$B$2:$B$8</c:f>
              <c:numCache/>
            </c:numRef>
          </c:val>
        </c:ser>
        <c:axId val="15516098"/>
        <c:axId val="2016292146"/>
      </c:barChart>
      <c:catAx>
        <c:axId val="15516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6292146"/>
      </c:catAx>
      <c:valAx>
        <c:axId val="2016292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1609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685800</xdr:colOff>
      <xdr:row>0</xdr:row>
      <xdr:rowOff>0</xdr:rowOff>
    </xdr:from>
    <xdr:ext cx="4629150" cy="28670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8" displayName="Таблица4" name="Таблица4" id="6">
  <tableColumns count="2">
    <tableColumn name="Январь " id="1"/>
    <tableColumn name="877515" id="2"/>
  </tableColumns>
  <tableStyleInfo name="Лист12-style" showColumnStripes="0" showFirstColumn="1" showLastColumn="1" showRowStripes="1"/>
</table>
</file>

<file path=xl/tables/table2.xml><?xml version="1.0" encoding="utf-8"?>
<table xmlns="http://schemas.openxmlformats.org/spreadsheetml/2006/main" ref="A1:K3" displayName="Таблица2" name="Таблица2" id="2">
  <tableColumns count="11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Итого доход" id="7"/>
    <tableColumn name="ЗП Влада" id="8"/>
    <tableColumn name="Расход " id="9"/>
    <tableColumn name="Итого расход" id="10"/>
    <tableColumn name="Итого" id="11"/>
  </tableColumns>
  <tableStyleInfo name="Январь 2026-style" showColumnStripes="0" showFirstColumn="1" showLastColumn="1" showRowStripes="1"/>
</table>
</file>

<file path=xl/tables/table3.xml><?xml version="1.0" encoding="utf-8"?>
<table xmlns="http://schemas.openxmlformats.org/spreadsheetml/2006/main" ref="A1:K3" displayName="Таблица3" name="Таблица3" id="3">
  <tableColumns count="11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Итого доход" id="7"/>
    <tableColumn name="ЗП Влада" id="8"/>
    <tableColumn name="Расход " id="9"/>
    <tableColumn name="Итого расход" id="10"/>
    <tableColumn name="Итого" id="11"/>
  </tableColumns>
  <tableStyleInfo name="Февраль 2026-style" showColumnStripes="0" showFirstColumn="1" showLastColumn="1" showRowStripes="1"/>
</table>
</file>

<file path=xl/tables/table4.xml><?xml version="1.0" encoding="utf-8"?>
<table xmlns="http://schemas.openxmlformats.org/spreadsheetml/2006/main" ref="A1:K3" displayName="Март_2026" name="Март_2026" id="1">
  <tableColumns count="11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Итого доход" id="7"/>
    <tableColumn name="ЗП Влада" id="8"/>
    <tableColumn name="Расход " id="9"/>
    <tableColumn name="Итого расход" id="10"/>
    <tableColumn name="Итого" id="11"/>
  </tableColumns>
  <tableStyleInfo name="Март 2026-style" showColumnStripes="0" showFirstColumn="1" showLastColumn="1" showRowStripes="1"/>
</table>
</file>

<file path=xl/tables/table5.xml><?xml version="1.0" encoding="utf-8"?>
<table xmlns="http://schemas.openxmlformats.org/spreadsheetml/2006/main" ref="A1:K3" displayName="Таблица5" name="Таблица5" id="5">
  <tableColumns count="11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Итого доход" id="7"/>
    <tableColumn name="ЗП Влада" id="8"/>
    <tableColumn name="Расход" id="9"/>
    <tableColumn name="Итого расход " id="10"/>
    <tableColumn name="Итого" id="11"/>
  </tableColumns>
  <tableStyleInfo name="Апрель 2026-style" showColumnStripes="0" showFirstColumn="1" showLastColumn="1" showRowStripes="1"/>
</table>
</file>

<file path=xl/tables/table6.xml><?xml version="1.0" encoding="utf-8"?>
<table xmlns="http://schemas.openxmlformats.org/spreadsheetml/2006/main" ref="A1:M3" displayName="Май_" name="Май_" id="4">
  <tableColumns count="13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УВТ" id="7"/>
    <tableColumn name="Прием ИРИС" id="8"/>
    <tableColumn name="Итого доход" id="9"/>
    <tableColumn name="ЗП Влада" id="10"/>
    <tableColumn name="Расход" id="11"/>
    <tableColumn name="Итого расход" id="12"/>
    <tableColumn name="Итого" id="13"/>
  </tableColumns>
  <tableStyleInfo name="Май2026-style" showColumnStripes="0" showFirstColumn="1" showLastColumn="1" showRowStripes="1"/>
</table>
</file>

<file path=xl/tables/table7.xml><?xml version="1.0" encoding="utf-8"?>
<table xmlns="http://schemas.openxmlformats.org/spreadsheetml/2006/main" ref="A1:N3" displayName="Июнь" name="Июнь" id="7">
  <tableColumns count="14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УВТ" id="7"/>
    <tableColumn name="Прием ИРИС" id="8"/>
    <tableColumn name="ЛФК" id="9"/>
    <tableColumn name="Итого доход" id="10"/>
    <tableColumn name="ЗП Влада" id="11"/>
    <tableColumn name="Расход" id="12"/>
    <tableColumn name="Итого расход" id="13"/>
    <tableColumn name="Итого" id="14"/>
  </tableColumns>
  <tableStyleInfo name="Июнь2026-style" showColumnStripes="0" showFirstColumn="1" showLastColumn="1" showRowStripes="1"/>
</table>
</file>

<file path=xl/tables/table8.xml><?xml version="1.0" encoding="utf-8"?>
<table xmlns="http://schemas.openxmlformats.org/spreadsheetml/2006/main" ref="A1:O3" displayName="Июль" name="Июль" id="8">
  <tableColumns count="15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УВТ Июнь " id="7"/>
    <tableColumn name="УВТ Июль" id="8"/>
    <tableColumn name="Прием ИРИС" id="9"/>
    <tableColumn name="ЛФК" id="10"/>
    <tableColumn name="Итого доход" id="11"/>
    <tableColumn name="ЗП Влада" id="12"/>
    <tableColumn name="Расход" id="13"/>
    <tableColumn name="Итого расход" id="14"/>
    <tableColumn name="Итого" id="15"/>
  </tableColumns>
  <tableStyleInfo name="Июль2026-style" showColumnStripes="0" showFirstColumn="1" showLastColumn="1" showRowStripes="1"/>
</table>
</file>

<file path=xl/tables/table9.xml><?xml version="1.0" encoding="utf-8"?>
<table xmlns="http://schemas.openxmlformats.org/spreadsheetml/2006/main" ref="A1:O3" displayName="Таблица1" name="Таблица1" id="9">
  <tableColumns count="15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УВТ Июнь " id="7"/>
    <tableColumn name="УВТ Август " id="8"/>
    <tableColumn name="Прием ИРИС" id="9"/>
    <tableColumn name="ЛФК" id="10"/>
    <tableColumn name="Итого доход" id="11"/>
    <tableColumn name="ЗП Влада" id="12"/>
    <tableColumn name="Расход" id="13"/>
    <tableColumn name="Итого расход" id="14"/>
    <tableColumn name="Итого" id="15"/>
  </tableColumns>
  <tableStyleInfo name="Август2026-style" showColumnStripes="0" showFirstColumn="1" showLastColumn="1" showRowStripes="1"/>
</table>
</file>

<file path=xl/tables/table10.xml><?xml version="1.0" encoding="utf-8"?>
<table xmlns="http://schemas.openxmlformats.org/spreadsheetml/2006/main" ref="A1:O3" displayName="Таблица6" name="Таблица6" id="10">
  <tableColumns count="15">
    <tableColumn name="Месяц" id="1"/>
    <tableColumn name="Программа Димы" id="2"/>
    <tableColumn name="Медлок" id="3"/>
    <tableColumn name="Тетрадь" id="4"/>
    <tableColumn name="Рентген" id="5"/>
    <tableColumn name="Купон Продоктора" id="6"/>
    <tableColumn name="УВТ Июнь " id="7"/>
    <tableColumn name="УВТ Сентябрь" id="8"/>
    <tableColumn name="Прием ИРИС" id="9"/>
    <tableColumn name="ЛФК" id="10"/>
    <tableColumn name="Итого доход" id="11"/>
    <tableColumn name="ЗП Влада" id="12"/>
    <tableColumn name="Расход" id="13"/>
    <tableColumn name="Итого расход" id="14"/>
    <tableColumn name="Итого" id="15"/>
  </tableColumns>
  <tableStyleInfo name="Сентябрь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6" t="s">
        <v>27</v>
      </c>
      <c r="B1" s="2" t="s">
        <v>28</v>
      </c>
    </row>
    <row r="2" ht="22.5" customHeight="1">
      <c r="A2" s="7" t="s">
        <v>29</v>
      </c>
      <c r="B2" s="3">
        <v>-311899.0</v>
      </c>
    </row>
    <row r="3" ht="22.5" customHeight="1">
      <c r="A3" s="7" t="s">
        <v>30</v>
      </c>
      <c r="B3" s="3">
        <v>203318.0</v>
      </c>
    </row>
    <row r="4" ht="22.5" customHeight="1">
      <c r="A4" s="7" t="s">
        <v>31</v>
      </c>
      <c r="B4" s="7">
        <v>-230375.0</v>
      </c>
    </row>
    <row r="5" ht="22.5" customHeight="1">
      <c r="A5" s="7" t="s">
        <v>32</v>
      </c>
      <c r="B5" s="3">
        <v>201761.0</v>
      </c>
    </row>
    <row r="6" ht="22.5" customHeight="1">
      <c r="A6" s="7" t="s">
        <v>33</v>
      </c>
      <c r="B6" s="3" t="s">
        <v>34</v>
      </c>
    </row>
    <row r="7" ht="22.5" customHeight="1">
      <c r="A7" s="7" t="s">
        <v>35</v>
      </c>
      <c r="B7" s="3" t="s">
        <v>36</v>
      </c>
    </row>
    <row r="8" ht="22.5" customHeight="1">
      <c r="A8" s="7" t="s">
        <v>37</v>
      </c>
      <c r="B8" s="3">
        <v>728910.0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2" width="18.25"/>
    <col customWidth="1" min="3" max="3" width="19.13"/>
    <col customWidth="1" min="4" max="4" width="17.25"/>
    <col customWidth="1" min="5" max="5" width="19.13"/>
    <col customWidth="1" min="6" max="6" width="18.63"/>
    <col customWidth="1" min="7" max="7" width="16.63"/>
    <col customWidth="1" min="8" max="8" width="16.0"/>
    <col customWidth="1" min="9" max="9" width="14.88"/>
    <col customWidth="1" min="10" max="10" width="1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A2" s="3" t="s">
        <v>13</v>
      </c>
      <c r="B2" s="3">
        <v>979110.0</v>
      </c>
      <c r="C2" s="3" t="s">
        <v>14</v>
      </c>
      <c r="D2" s="3">
        <v>366950.0</v>
      </c>
      <c r="E2" s="3">
        <v>5000.0</v>
      </c>
      <c r="F2" s="3">
        <v>8400.0</v>
      </c>
      <c r="G2" s="3">
        <v>1359460.0</v>
      </c>
      <c r="H2" s="3">
        <v>89000.0</v>
      </c>
      <c r="I2" s="3">
        <v>392945.0</v>
      </c>
      <c r="J2" s="3">
        <v>481945.0</v>
      </c>
      <c r="K2" s="3">
        <v>877515.0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4" t="s">
        <v>17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2" width="16.38"/>
    <col customWidth="1" min="3" max="3" width="17.88"/>
    <col customWidth="1" min="4" max="4" width="18.5"/>
    <col customWidth="1" min="5" max="5" width="19.63"/>
    <col customWidth="1" min="6" max="6" width="20.88"/>
    <col customWidth="1" min="7" max="7" width="16.5"/>
    <col customWidth="1" min="10" max="10" width="1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A2" s="3" t="s">
        <v>11</v>
      </c>
      <c r="B2" s="3">
        <v>59750.0</v>
      </c>
      <c r="C2" s="3">
        <v>1014714.0</v>
      </c>
      <c r="D2" s="3">
        <v>231280.0</v>
      </c>
      <c r="E2" s="3">
        <v>3000.0</v>
      </c>
      <c r="F2" s="3">
        <v>12600.0</v>
      </c>
      <c r="G2" s="3">
        <v>1321344.0</v>
      </c>
      <c r="H2" s="3">
        <v>87875.0</v>
      </c>
      <c r="I2" s="3">
        <v>1545368.0</v>
      </c>
      <c r="J2" s="3">
        <v>1633243.0</v>
      </c>
      <c r="K2" s="3">
        <v>-311899.0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5" t="s">
        <v>16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9.0"/>
    <col customWidth="1" min="3" max="4" width="12.63"/>
    <col customWidth="1" min="5" max="5" width="16.25"/>
    <col customWidth="1" min="6" max="6" width="15.75"/>
    <col customWidth="1" min="7" max="7" width="19.5"/>
    <col customWidth="1" min="8" max="8" width="17.0"/>
    <col customWidth="1" min="10" max="10" width="18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A2" s="3" t="s">
        <v>12</v>
      </c>
      <c r="B2" s="3" t="s">
        <v>14</v>
      </c>
      <c r="C2" s="3">
        <v>1173035.0</v>
      </c>
      <c r="D2" s="3">
        <v>82240.0</v>
      </c>
      <c r="E2" s="3">
        <v>3000.0</v>
      </c>
      <c r="F2" s="3">
        <v>16800.0</v>
      </c>
      <c r="G2" s="3">
        <v>1275075.0</v>
      </c>
      <c r="H2" s="3">
        <v>98125.0</v>
      </c>
      <c r="I2" s="3">
        <v>973632.0</v>
      </c>
      <c r="J2" s="3">
        <v>1071757.0</v>
      </c>
      <c r="K2" s="3">
        <v>203318.0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4" t="s">
        <v>15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88"/>
    <col customWidth="1" min="2" max="2" width="22.25"/>
    <col customWidth="1" min="3" max="3" width="18.0"/>
    <col customWidth="1" min="4" max="4" width="16.38"/>
    <col customWidth="1" min="5" max="5" width="17.38"/>
    <col customWidth="1" min="6" max="6" width="15.63"/>
    <col customWidth="1" min="7" max="7" width="16.38"/>
    <col customWidth="1" min="10" max="10" width="1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20</v>
      </c>
      <c r="J1" s="2" t="s">
        <v>22</v>
      </c>
      <c r="K1" s="6" t="s">
        <v>10</v>
      </c>
    </row>
    <row r="2" ht="15.75" customHeight="1">
      <c r="A2" s="7" t="s">
        <v>24</v>
      </c>
      <c r="B2" s="3" t="s">
        <v>14</v>
      </c>
      <c r="C2" s="3">
        <v>766407.0</v>
      </c>
      <c r="D2" s="3">
        <v>225500.0</v>
      </c>
      <c r="E2" s="3">
        <v>900.0</v>
      </c>
      <c r="F2" s="3">
        <v>11552.0</v>
      </c>
      <c r="G2" s="3">
        <v>1004359.0</v>
      </c>
      <c r="H2" s="7">
        <v>80700.0</v>
      </c>
      <c r="I2" s="3">
        <v>1154034.0</v>
      </c>
      <c r="J2" s="3">
        <v>1234734.0</v>
      </c>
      <c r="K2" s="7">
        <v>-230375.0</v>
      </c>
    </row>
    <row r="3" ht="15.75" customHeight="1">
      <c r="A3" s="7"/>
      <c r="B3" s="3"/>
      <c r="C3" s="3"/>
      <c r="D3" s="3"/>
      <c r="E3" s="3"/>
      <c r="F3" s="3"/>
      <c r="G3" s="3"/>
      <c r="I3" s="9"/>
      <c r="J3" s="9"/>
      <c r="K3" s="11" t="s">
        <v>26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18.88"/>
    <col customWidth="1" min="3" max="4" width="12.63"/>
    <col customWidth="1" min="5" max="5" width="15.63"/>
    <col customWidth="1" min="6" max="6" width="12.63"/>
    <col customWidth="1" min="9" max="9" width="15.75"/>
    <col customWidth="1" min="12" max="12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18</v>
      </c>
      <c r="H1" s="2" t="s">
        <v>19</v>
      </c>
      <c r="I1" s="2" t="s">
        <v>6</v>
      </c>
      <c r="J1" s="2" t="s">
        <v>7</v>
      </c>
      <c r="K1" s="2" t="s">
        <v>20</v>
      </c>
      <c r="L1" s="2" t="s">
        <v>9</v>
      </c>
      <c r="M1" s="6" t="s">
        <v>10</v>
      </c>
    </row>
    <row r="2" ht="15.75" customHeight="1">
      <c r="A2" s="3" t="s">
        <v>21</v>
      </c>
      <c r="B2" s="3" t="s">
        <v>14</v>
      </c>
      <c r="C2" s="3">
        <v>796085.0</v>
      </c>
      <c r="D2" s="3">
        <v>433100.0</v>
      </c>
      <c r="E2" s="3" t="s">
        <v>23</v>
      </c>
      <c r="F2" s="3">
        <v>8400.0</v>
      </c>
      <c r="G2" s="3">
        <v>16950.0</v>
      </c>
      <c r="H2" s="3" t="s">
        <v>14</v>
      </c>
      <c r="I2" s="3">
        <v>1254535.0</v>
      </c>
      <c r="J2" s="3">
        <v>104325.0</v>
      </c>
      <c r="K2" s="3">
        <v>958419.0</v>
      </c>
      <c r="L2" s="3">
        <v>1062774.0</v>
      </c>
      <c r="M2" s="3">
        <v>201761.0</v>
      </c>
    </row>
    <row r="3" ht="15.75" customHeight="1">
      <c r="A3" s="8"/>
      <c r="B3" s="8"/>
      <c r="C3" s="8"/>
      <c r="D3" s="8"/>
      <c r="E3" s="8"/>
      <c r="F3" s="8"/>
      <c r="G3" s="3"/>
      <c r="H3" s="3"/>
      <c r="I3" s="3"/>
      <c r="J3" s="3"/>
      <c r="K3" s="3"/>
      <c r="L3" s="3"/>
      <c r="M3" s="10" t="s">
        <v>25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19.25"/>
    <col customWidth="1" min="3" max="3" width="16.38"/>
    <col customWidth="1" min="4" max="4" width="16.88"/>
    <col customWidth="1" min="5" max="5" width="19.75"/>
    <col customWidth="1" min="6" max="6" width="19.5"/>
    <col customWidth="1" min="8" max="8" width="19.88"/>
    <col customWidth="1" min="9" max="9" width="17.88"/>
    <col customWidth="1" min="10" max="10" width="15.0"/>
    <col customWidth="1" min="11" max="11" width="14.63"/>
    <col customWidth="1" min="12" max="12" width="14.88"/>
    <col customWidth="1" min="13" max="13" width="1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18</v>
      </c>
      <c r="H1" s="2" t="s">
        <v>19</v>
      </c>
      <c r="I1" s="2" t="s">
        <v>38</v>
      </c>
      <c r="J1" s="2" t="s">
        <v>6</v>
      </c>
      <c r="K1" s="2" t="s">
        <v>7</v>
      </c>
      <c r="L1" s="2" t="s">
        <v>20</v>
      </c>
      <c r="M1" s="2" t="s">
        <v>9</v>
      </c>
      <c r="N1" s="2" t="s">
        <v>10</v>
      </c>
    </row>
    <row r="2" ht="15.75" customHeight="1">
      <c r="A2" s="3" t="s">
        <v>39</v>
      </c>
      <c r="B2" s="3" t="s">
        <v>14</v>
      </c>
      <c r="C2" s="3" t="s">
        <v>40</v>
      </c>
      <c r="D2" s="3" t="s">
        <v>42</v>
      </c>
      <c r="E2" s="12">
        <v>46213.0</v>
      </c>
      <c r="F2" s="3">
        <v>6300.0</v>
      </c>
      <c r="G2" s="3">
        <v>21600.0</v>
      </c>
      <c r="H2" s="3" t="s">
        <v>14</v>
      </c>
      <c r="I2" s="3">
        <v>4500.0</v>
      </c>
      <c r="J2" s="3" t="s">
        <v>45</v>
      </c>
      <c r="K2" s="3" t="s">
        <v>46</v>
      </c>
      <c r="L2" s="3" t="s">
        <v>50</v>
      </c>
      <c r="M2" s="3" t="s">
        <v>52</v>
      </c>
      <c r="N2" s="3" t="s">
        <v>34</v>
      </c>
    </row>
    <row r="3" ht="15.75" customHeight="1">
      <c r="A3" s="3"/>
      <c r="B3" s="3"/>
      <c r="C3" s="3"/>
      <c r="D3" s="3"/>
      <c r="E3" s="12"/>
      <c r="F3" s="3"/>
      <c r="G3" s="3"/>
      <c r="H3" s="3"/>
      <c r="I3" s="3"/>
      <c r="J3" s="3"/>
      <c r="K3" s="3"/>
      <c r="L3" s="3"/>
      <c r="M3" s="3"/>
      <c r="N3" s="4" t="s">
        <v>56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13"/>
    <col customWidth="1" min="3" max="3" width="17.0"/>
    <col customWidth="1" min="4" max="5" width="12.63"/>
    <col customWidth="1" min="6" max="6" width="14.75"/>
    <col customWidth="1" min="8" max="9" width="18.75"/>
    <col customWidth="1" min="10" max="10" width="17.0"/>
    <col customWidth="1" min="11" max="11" width="17.38"/>
    <col customWidth="1" min="14" max="14" width="16.63"/>
    <col customWidth="1" min="15" max="15" width="1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41</v>
      </c>
      <c r="H1" s="2" t="s">
        <v>43</v>
      </c>
      <c r="I1" s="2" t="s">
        <v>19</v>
      </c>
      <c r="J1" s="2" t="s">
        <v>38</v>
      </c>
      <c r="K1" s="2" t="s">
        <v>6</v>
      </c>
      <c r="L1" s="2" t="s">
        <v>7</v>
      </c>
      <c r="M1" s="2" t="s">
        <v>20</v>
      </c>
      <c r="N1" s="2" t="s">
        <v>9</v>
      </c>
      <c r="O1" s="2" t="s">
        <v>10</v>
      </c>
    </row>
    <row r="2" ht="15.75" customHeight="1">
      <c r="A2" s="3" t="s">
        <v>44</v>
      </c>
      <c r="B2" s="3" t="s">
        <v>14</v>
      </c>
      <c r="C2" s="3">
        <v>1371524.0</v>
      </c>
      <c r="D2" s="3">
        <v>592500.0</v>
      </c>
      <c r="E2" s="13">
        <v>1650.0</v>
      </c>
      <c r="F2" s="13">
        <v>15750.0</v>
      </c>
      <c r="G2" s="3">
        <v>26325.0</v>
      </c>
      <c r="H2" s="3">
        <v>25425.0</v>
      </c>
      <c r="I2" s="3" t="s">
        <v>14</v>
      </c>
      <c r="J2" s="3">
        <v>5000.0</v>
      </c>
      <c r="K2" s="3" t="s">
        <v>48</v>
      </c>
      <c r="L2" s="3">
        <v>198375.0</v>
      </c>
      <c r="M2" s="3">
        <v>552981.0</v>
      </c>
      <c r="N2" s="3" t="s">
        <v>49</v>
      </c>
      <c r="O2" s="3" t="s">
        <v>36</v>
      </c>
    </row>
    <row r="3" ht="15.75" customHeight="1">
      <c r="A3" s="3"/>
      <c r="B3" s="3"/>
      <c r="C3" s="3"/>
      <c r="D3" s="3"/>
      <c r="E3" s="12"/>
      <c r="F3" s="3"/>
      <c r="H3" s="3"/>
      <c r="I3" s="3"/>
      <c r="J3" s="3"/>
      <c r="K3" s="3"/>
      <c r="L3" s="3"/>
      <c r="M3" s="3"/>
      <c r="N3" s="15">
        <v>0.35</v>
      </c>
      <c r="O3" s="4" t="s">
        <v>53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18.0"/>
    <col customWidth="1" min="3" max="3" width="12.63"/>
    <col customWidth="1" min="4" max="4" width="15.0"/>
    <col customWidth="1" min="5" max="5" width="14.63"/>
    <col customWidth="1" min="6" max="6" width="17.75"/>
    <col customWidth="1" min="7" max="7" width="14.88"/>
    <col customWidth="1" min="8" max="8" width="15.0"/>
    <col customWidth="1" min="9" max="9" width="16.63"/>
    <col customWidth="1" min="13" max="14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41</v>
      </c>
      <c r="H1" s="2" t="s">
        <v>47</v>
      </c>
      <c r="I1" s="2" t="s">
        <v>19</v>
      </c>
      <c r="J1" s="2" t="s">
        <v>38</v>
      </c>
      <c r="K1" s="2" t="s">
        <v>6</v>
      </c>
      <c r="L1" s="2" t="s">
        <v>7</v>
      </c>
      <c r="M1" s="2" t="s">
        <v>20</v>
      </c>
      <c r="N1" s="2" t="s">
        <v>9</v>
      </c>
      <c r="O1" s="2" t="s">
        <v>10</v>
      </c>
    </row>
    <row r="2" ht="15.75" customHeight="1">
      <c r="A2" s="3" t="s">
        <v>51</v>
      </c>
      <c r="B2" s="3" t="s">
        <v>14</v>
      </c>
      <c r="C2" s="3">
        <v>908306.0</v>
      </c>
      <c r="D2" s="3">
        <v>107750.0</v>
      </c>
      <c r="E2" s="14">
        <v>2250.0</v>
      </c>
      <c r="F2" s="13">
        <v>12600.0</v>
      </c>
      <c r="G2" s="3">
        <v>16350.0</v>
      </c>
      <c r="H2" s="3">
        <v>24525.0</v>
      </c>
      <c r="I2" s="3" t="s">
        <v>14</v>
      </c>
      <c r="J2" s="3">
        <v>750.0</v>
      </c>
      <c r="K2" s="3" t="s">
        <v>54</v>
      </c>
      <c r="L2" s="3">
        <v>142250.0</v>
      </c>
      <c r="M2" s="3">
        <v>201371.0</v>
      </c>
      <c r="N2" s="3">
        <v>343621.0</v>
      </c>
      <c r="O2" s="3">
        <v>728910.0</v>
      </c>
    </row>
    <row r="3" ht="15.75" customHeight="1">
      <c r="A3" s="3"/>
      <c r="B3" s="3"/>
      <c r="C3" s="3"/>
      <c r="D3" s="3"/>
      <c r="E3" s="12"/>
      <c r="F3" s="3"/>
      <c r="H3" s="3"/>
      <c r="I3" s="3"/>
      <c r="J3" s="3"/>
      <c r="K3" s="3"/>
      <c r="L3" s="3"/>
      <c r="M3" s="3"/>
      <c r="N3" s="15"/>
      <c r="O3" s="4" t="s">
        <v>55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16.25"/>
    <col customWidth="1" min="3" max="3" width="15.75"/>
    <col customWidth="1" min="4" max="4" width="17.13"/>
    <col customWidth="1" min="5" max="5" width="17.25"/>
    <col customWidth="1" min="6" max="6" width="19.13"/>
    <col customWidth="1" min="7" max="8" width="17.75"/>
    <col customWidth="1" min="9" max="9" width="16.75"/>
    <col customWidth="1" min="10" max="10" width="17.63"/>
    <col customWidth="1" min="11" max="11" width="19.38"/>
    <col customWidth="1" min="13" max="13" width="15.38"/>
    <col customWidth="1" min="14" max="14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41</v>
      </c>
      <c r="H1" s="2" t="s">
        <v>57</v>
      </c>
      <c r="I1" s="2" t="s">
        <v>19</v>
      </c>
      <c r="J1" s="2" t="s">
        <v>38</v>
      </c>
      <c r="K1" s="2" t="s">
        <v>6</v>
      </c>
      <c r="L1" s="2" t="s">
        <v>7</v>
      </c>
      <c r="M1" s="2" t="s">
        <v>20</v>
      </c>
      <c r="N1" s="2" t="s">
        <v>9</v>
      </c>
      <c r="O1" s="2" t="s">
        <v>10</v>
      </c>
    </row>
    <row r="2" ht="15.75" customHeight="1">
      <c r="A2" s="3" t="s">
        <v>58</v>
      </c>
      <c r="B2" s="3" t="s">
        <v>14</v>
      </c>
      <c r="C2" s="3" t="s">
        <v>59</v>
      </c>
      <c r="D2" s="3">
        <v>238575.0</v>
      </c>
      <c r="E2" s="14"/>
      <c r="F2" s="13">
        <v>11025.0</v>
      </c>
      <c r="G2" s="3">
        <v>13650.0</v>
      </c>
      <c r="H2" s="3">
        <v>30525.0</v>
      </c>
      <c r="I2" s="3" t="s">
        <v>14</v>
      </c>
      <c r="J2" s="3">
        <v>750.0</v>
      </c>
      <c r="K2" s="3" t="s">
        <v>60</v>
      </c>
      <c r="L2" s="3">
        <v>133575.0</v>
      </c>
      <c r="M2" s="3">
        <v>891110.0</v>
      </c>
      <c r="N2" s="3">
        <v>1024685.0</v>
      </c>
      <c r="O2" s="3">
        <v>355535.0</v>
      </c>
    </row>
    <row r="3" ht="15.75" customHeight="1">
      <c r="A3" s="3"/>
      <c r="B3" s="3"/>
      <c r="C3" s="3"/>
      <c r="D3" s="3"/>
      <c r="E3" s="12"/>
      <c r="F3" s="3"/>
      <c r="H3" s="3"/>
      <c r="I3" s="3"/>
      <c r="J3" s="3"/>
      <c r="K3" s="3"/>
      <c r="L3" s="3"/>
      <c r="M3" s="3"/>
      <c r="N3" s="15"/>
      <c r="O3" s="4" t="s">
        <v>61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